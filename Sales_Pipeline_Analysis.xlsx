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60cdfe559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4f2d981043a747c1"/>
    <x:sheet xmlns:r="http://schemas.openxmlformats.org/officeDocument/2006/relationships" name="Dashboard" sheetId="2" r:id="Rbd87a4a751e7416e"/>
    <x:sheet xmlns:r="http://schemas.openxmlformats.org/officeDocument/2006/relationships" name="Project Guide" sheetId="3" r:id="R30a61b599ebe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yyyy-mm-dd"/>
    <x:numFmt numFmtId="202" formatCode="0&quot;%&quot;"/>
    <x:numFmt numFmtId="203" formatCode="0.0%"/>
  </x:numFmts>
  <x:fonts count="18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425466"/>
      <x:name val="Carlito"/>
    </x:font>
    <x:font>
      <x:b/>
      <x:sz val="15"/>
      <x:color rgb="FF12314D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425466"/>
      <x:name val="Aptos"/>
    </x:font>
    <x:font>
      <x:b/>
      <x:sz val="10"/>
      <x:color rgb="FF12314D"/>
      <x:name val="Aptos"/>
    </x:font>
    <x:font>
      <x:b/>
      <x:sz val="18"/>
      <x:color rgb="FFFFFFFF"/>
      <x:name val="Aptos Display"/>
    </x:font>
    <x:font>
      <x:b/>
      <x:sz val="13"/>
      <x:color rgb="FF12314D"/>
      <x:name val="Carlito"/>
    </x:font>
    <x:font>
      <x:sz val="11"/>
      <x:color rgb="FF243B53"/>
      <x:name val="Carlito"/>
    </x:font>
    <x:font>
      <x:i/>
      <x:sz val="11"/>
      <x:color rgb="FF6B5D2E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2314D"/>
      <x:name val="Aptos"/>
    </x:font>
    <x:font>
      <x:sz val="11"/>
      <x:color rgb="FF243B53"/>
      <x:name val="Aptos"/>
    </x:font>
    <x:font>
      <x:i/>
      <x:sz val="11"/>
      <x:color rgb="FF6B5D2E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314D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F7F9FB"/>
      </x:patternFill>
    </x:fill>
    <x:fill>
      <x:patternFill patternType="solid">
        <x:fgColor rgb="FFFFF8E1"/>
      </x:patternFill>
    </x:fill>
  </x:fills>
  <x:borders count="26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A7B8C9"/>
      </x:left>
      <x:top style="thin">
        <x:color rgb="FFA7B8C9"/>
      </x:top>
    </x:border>
    <x:border>
      <x:right style="thin">
        <x:color rgb="FFA7B8C9"/>
      </x:right>
      <x:top style="thin">
        <x:color rgb="FFA7B8C9"/>
      </x:top>
    </x:border>
    <x:border>
      <x:left style="thin">
        <x:color rgb="FFA7B8C9"/>
      </x:left>
      <x:bottom style="thin">
        <x:color rgb="FFA7B8C9"/>
      </x:bottom>
    </x:border>
    <x:border>
      <x:right style="thin">
        <x:color rgb="FFA7B8C9"/>
      </x:right>
      <x:bottom style="thin">
        <x:color rgb="FFA7B8C9"/>
      </x:bottom>
    </x:border>
    <x:border>
      <x:top style="thin">
        <x:color rgb="FFA7B8C9"/>
      </x:top>
    </x:border>
    <x:border>
      <x:left style="thin">
        <x:color rgb="FFA7B8C9"/>
      </x:left>
    </x:border>
    <x:border>
      <x:right style="thin">
        <x:color rgb="FFA7B8C9"/>
      </x:right>
    </x:border>
    <x:border>
      <x:bottom style="thin">
        <x:color rgb="FFA7B8C9"/>
      </x:bottom>
    </x:border>
    <x:border>
      <x:left style="thin">
        <x:color rgb="FFD4B95E"/>
      </x:left>
      <x:top style="thin">
        <x:color rgb="FFD4B95E"/>
      </x:top>
    </x:border>
    <x:border>
      <x:top style="thin">
        <x:color rgb="FFD4B95E"/>
      </x:top>
    </x:border>
    <x:border>
      <x:right style="thin">
        <x:color rgb="FFD4B95E"/>
      </x:right>
      <x:top style="thin">
        <x:color rgb="FFD4B95E"/>
      </x:top>
    </x:border>
    <x:border>
      <x:left style="thin">
        <x:color rgb="FFD4B95E"/>
      </x:left>
    </x:border>
    <x:border>
      <x:right style="thin">
        <x:color rgb="FFD4B95E"/>
      </x:right>
    </x:border>
    <x:border>
      <x:left style="thin">
        <x:color rgb="FFD4B95E"/>
      </x:left>
      <x:bottom style="thin">
        <x:color rgb="FFD4B95E"/>
      </x:bottom>
    </x:border>
    <x:border>
      <x:bottom style="thin">
        <x:color rgb="FFD4B95E"/>
      </x:bottom>
    </x:border>
    <x:border>
      <x:right style="thin">
        <x:color rgb="FFD4B95E"/>
      </x:right>
      <x:bottom style="thin">
        <x:color rgb="FFD4B95E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200" fontId="4" fillId="3" borderId="12" xfId="0" applyNumberFormat="1" applyFont="1" applyFill="1" applyBorder="1"/>
    <x:xf numFmtId="200" fontId="4" fillId="3" borderId="13" xfId="0" applyNumberFormat="1" applyFont="1" applyFill="1" applyBorder="1"/>
    <x:xf numFmtId="203" fontId="4" fillId="3" borderId="12" xfId="0" applyNumberFormat="1" applyFont="1" applyFill="1" applyBorder="1"/>
    <x:xf numFmtId="200" fontId="0" fillId="0" borderId="0" xfId="0" applyNumberFormat="1" applyFont="1" applyFill="1" applyBorder="1"/>
    <x:xf numFmtId="0" fontId="1" fillId="2" borderId="10" xfId="0" applyNumberFormat="1" applyFont="1" applyFill="1" applyBorder="1"/>
    <x:xf numFmtId="0" fontId="1" fillId="2" borderId="14" xfId="0" applyNumberFormat="1" applyFont="1" applyFill="1" applyBorder="1"/>
    <x:xf numFmtId="0" fontId="1" fillId="2" borderId="11" xfId="0" applyNumberFormat="1" applyFont="1" applyFill="1" applyBorder="1"/>
    <x:xf numFmtId="0" fontId="0" fillId="0" borderId="15" xfId="0" applyNumberFormat="1" applyFont="1" applyFill="1" applyBorder="1"/>
    <x:xf numFmtId="0" fontId="0" fillId="0" borderId="0" xfId="0" applyNumberFormat="1" applyFont="1" applyFill="1" applyBorder="1"/>
    <x:xf numFmtId="200" fontId="0" fillId="0" borderId="16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200" fontId="0" fillId="0" borderId="13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/>
    <x:xf numFmtId="0" fontId="7" fillId="3" borderId="11" xfId="0" applyNumberFormat="1" applyFont="1" applyFill="1" applyBorder="1"/>
    <x:xf numFmtId="200" fontId="8" fillId="3" borderId="12" xfId="0" applyNumberFormat="1" applyFont="1" applyFill="1" applyBorder="1"/>
    <x:xf numFmtId="200" fontId="8" fillId="3" borderId="13" xfId="0" applyNumberFormat="1" applyFont="1" applyFill="1" applyBorder="1"/>
    <x:xf numFmtId="203" fontId="8" fillId="3" borderId="12" xfId="0" applyNumberFormat="1" applyFont="1" applyFill="1" applyBorder="1"/>
    <x:xf numFmtId="0" fontId="5" fillId="2" borderId="10" xfId="0" applyNumberFormat="1" applyFont="1" applyFill="1" applyBorder="1"/>
    <x:xf numFmtId="0" fontId="5" fillId="2" borderId="14" xfId="0" applyNumberFormat="1" applyFont="1" applyFill="1" applyBorder="1"/>
    <x:xf numFmtId="0" fontId="5" fillId="2" borderId="11" xfId="0" applyNumberFormat="1" applyFont="1" applyFill="1" applyBorder="1"/>
    <x:xf numFmtId="0" fontId="6" fillId="0" borderId="15" xfId="0" applyNumberFormat="1" applyFont="1" applyFill="1" applyBorder="1"/>
    <x:xf numFmtId="200" fontId="6" fillId="0" borderId="16" xfId="0" applyNumberFormat="1" applyFont="1" applyFill="1" applyBorder="1"/>
    <x:xf numFmtId="0" fontId="6" fillId="0" borderId="12" xfId="0" applyNumberFormat="1" applyFont="1" applyFill="1" applyBorder="1"/>
    <x:xf numFmtId="0" fontId="6" fillId="0" borderId="17" xfId="0" applyNumberFormat="1" applyFont="1" applyFill="1" applyBorder="1"/>
    <x:xf numFmtId="200" fontId="6" fillId="0" borderId="13" xfId="0" applyNumberFormat="1" applyFont="1" applyFill="1" applyBorder="1"/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18" xfId="0" applyNumberFormat="1" applyFont="1" applyFill="1" applyBorder="1"/>
    <x:xf numFmtId="0" fontId="12" fillId="6" borderId="19" xfId="0" applyNumberFormat="1" applyFont="1" applyFill="1" applyBorder="1"/>
    <x:xf numFmtId="0" fontId="12" fillId="6" borderId="20" xfId="0" applyNumberFormat="1" applyFont="1" applyFill="1" applyBorder="1"/>
    <x:xf numFmtId="0" fontId="12" fillId="6" borderId="21" xfId="0" applyNumberFormat="1" applyFont="1" applyFill="1" applyBorder="1"/>
    <x:xf numFmtId="0" fontId="12" fillId="6" borderId="22" xfId="0" applyNumberFormat="1" applyFont="1" applyFill="1" applyBorder="1"/>
    <x:xf numFmtId="0" fontId="12" fillId="6" borderId="23" xfId="0" applyNumberFormat="1" applyFont="1" applyFill="1" applyBorder="1"/>
    <x:xf numFmtId="0" fontId="12" fillId="6" borderId="24" xfId="0" applyNumberFormat="1" applyFont="1" applyFill="1" applyBorder="1"/>
    <x:xf numFmtId="0" fontId="12" fillId="6" borderId="25" xfId="0" applyNumberFormat="1" applyFont="1" applyFill="1" applyBorder="1"/>
    <x:xf numFmtId="0" fontId="12" fillId="6" borderId="18" xfId="0" applyNumberFormat="1" applyFont="1" applyFill="1" applyBorder="1" applyAlignment="1">
      <x:alignment wrapText="1"/>
    </x:xf>
    <x:xf numFmtId="0" fontId="12" fillId="6" borderId="19" xfId="0" applyNumberFormat="1" applyFont="1" applyFill="1" applyBorder="1" applyAlignment="1">
      <x:alignment wrapText="1"/>
    </x:xf>
    <x:xf numFmtId="0" fontId="12" fillId="6" borderId="20" xfId="0" applyNumberFormat="1" applyFont="1" applyFill="1" applyBorder="1" applyAlignment="1">
      <x:alignment wrapText="1"/>
    </x:xf>
    <x:xf numFmtId="0" fontId="12" fillId="6" borderId="21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12" fillId="6" borderId="22" xfId="0" applyNumberFormat="1" applyFont="1" applyFill="1" applyBorder="1" applyAlignment="1">
      <x:alignment wrapText="1"/>
    </x:xf>
    <x:xf numFmtId="0" fontId="12" fillId="6" borderId="23" xfId="0" applyNumberFormat="1" applyFont="1" applyFill="1" applyBorder="1" applyAlignment="1">
      <x:alignment wrapText="1"/>
    </x:xf>
    <x:xf numFmtId="0" fontId="12" fillId="6" borderId="24" xfId="0" applyNumberFormat="1" applyFont="1" applyFill="1" applyBorder="1" applyAlignment="1">
      <x:alignment wrapText="1"/>
    </x:xf>
    <x:xf numFmtId="0" fontId="12" fillId="6" borderId="25" xfId="0" applyNumberFormat="1" applyFont="1" applyFill="1" applyBorder="1" applyAlignment="1">
      <x:alignment wrapText="1"/>
    </x:xf>
    <x:xf numFmtId="0" fontId="13" fillId="2" borderId="0" xfId="0" applyNumberFormat="1" applyFont="1" applyFill="1" applyBorder="1"/>
    <x:xf numFmtId="0" fontId="14" fillId="0" borderId="0" xfId="0" applyNumberFormat="1" applyFont="1" applyFill="1" applyBorder="1"/>
    <x:xf numFmtId="0" fontId="15" fillId="3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16" fillId="5" borderId="0" xfId="0" applyNumberFormat="1" applyFont="1" applyFill="1" applyBorder="1" applyAlignment="1">
      <x:alignment wrapText="1"/>
    </x:xf>
    <x:xf numFmtId="0" fontId="17" fillId="6" borderId="18" xfId="0" applyNumberFormat="1" applyFont="1" applyFill="1" applyBorder="1" applyAlignment="1">
      <x:alignment wrapText="1"/>
    </x:xf>
    <x:xf numFmtId="0" fontId="17" fillId="6" borderId="19" xfId="0" applyNumberFormat="1" applyFont="1" applyFill="1" applyBorder="1" applyAlignment="1">
      <x:alignment wrapText="1"/>
    </x:xf>
    <x:xf numFmtId="0" fontId="17" fillId="6" borderId="20" xfId="0" applyNumberFormat="1" applyFont="1" applyFill="1" applyBorder="1" applyAlignment="1">
      <x:alignment wrapText="1"/>
    </x:xf>
    <x:xf numFmtId="0" fontId="17" fillId="6" borderId="21" xfId="0" applyNumberFormat="1" applyFont="1" applyFill="1" applyBorder="1" applyAlignment="1">
      <x:alignment wrapText="1"/>
    </x:xf>
    <x:xf numFmtId="0" fontId="17" fillId="6" borderId="0" xfId="0" applyNumberFormat="1" applyFont="1" applyFill="1" applyBorder="1" applyAlignment="1">
      <x:alignment wrapText="1"/>
    </x:xf>
    <x:xf numFmtId="0" fontId="17" fillId="6" borderId="22" xfId="0" applyNumberFormat="1" applyFont="1" applyFill="1" applyBorder="1" applyAlignment="1">
      <x:alignment wrapText="1"/>
    </x:xf>
    <x:xf numFmtId="0" fontId="17" fillId="6" borderId="23" xfId="0" applyNumberFormat="1" applyFont="1" applyFill="1" applyBorder="1" applyAlignment="1">
      <x:alignment wrapText="1"/>
    </x:xf>
    <x:xf numFmtId="0" fontId="17" fillId="6" borderId="24" xfId="0" applyNumberFormat="1" applyFont="1" applyFill="1" applyBorder="1" applyAlignment="1">
      <x:alignment wrapText="1"/>
    </x:xf>
    <x:xf numFmtId="0" fontId="17" fillId="6" borderId="25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b7fa66b1e4ed6" /><Relationship Type="http://schemas.openxmlformats.org/officeDocument/2006/relationships/theme" Target="/xl/theme/theme1.xml" Id="Rb3aedb6242ea435b" /><Relationship Type="http://schemas.openxmlformats.org/officeDocument/2006/relationships/sharedStrings" Target="/xl/sharedStrings.xml" Id="R76fb597916f04c43" /><Relationship Type="http://schemas.openxmlformats.org/officeDocument/2006/relationships/worksheet" Target="/xl/worksheets/sheet1.xml" Id="R4f2d981043a747c1" /><Relationship Type="http://schemas.openxmlformats.org/officeDocument/2006/relationships/worksheet" Target="/xl/worksheets/sheet2.xml" Id="Rbd87a4a751e7416e" /><Relationship Type="http://schemas.openxmlformats.org/officeDocument/2006/relationships/worksheet" Target="/xl/worksheets/sheet3.xml" Id="R30a61b599ebe40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a4f0c307e944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Deals by Sales Stage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Deal Count</c:v>
          </c:tx>
          <c:cat>
            <c:strRef>
              <c:f>'Dashboard'!$A$8:$A$13</c:f>
              <c:strCache>
                <c:ptCount val="0"/>
              </c:strCache>
            </c:strRef>
          </c:cat>
          <c:val>
            <c:numRef>
              <c:f>'Dashboard'!$B$8:$B$13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a4f0c307e944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PipelineTable" displayName="SalesPipelineTable" ref="A1:J26" headerRowCount="1" totalsRowCount="0" totalsRowShown="0">
  <x:tableColumns count="10">
    <x:tableColumn id="1" name="Deal ID"/>
    <x:tableColumn id="2" name="Account"/>
    <x:tableColumn id="3" name="Industry"/>
    <x:tableColumn id="4" name="Region"/>
    <x:tableColumn id="5" name="Product"/>
    <x:tableColumn id="6" name="Stage"/>
    <x:tableColumn id="7" name="Deal Value"/>
    <x:tableColumn id="8" name="Created Date"/>
    <x:tableColumn id="9" name="Owner"/>
    <x:tableColumn id="10" name="Probability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574dd8e6754e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ebe9fd7b8f24f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8.779999732971191" hidden="0" customWidth="1"/>
    <x:col min="8" max="8" width="10.5600004196167" hidden="0" customWidth="1"/>
    <x:col min="9" max="9" width="5.559999942779541" hidden="0" customWidth="1"/>
    <x:col min="10" max="10" width="10.779999732971191" hidden="0" customWidth="1"/>
  </x:cols>
  <x:sheetData>
    <x:row r="1">
      <x:c r="A1" s="4" t="str">
        <x:v>Deal ID</x:v>
      </x:c>
      <x:c r="B1" s="4" t="str">
        <x:v>Account</x:v>
      </x:c>
      <x:c r="C1" s="4" t="str">
        <x:v>Industry</x:v>
      </x:c>
      <x:c r="D1" s="4" t="str">
        <x:v>Region</x:v>
      </x:c>
      <x:c r="E1" s="4" t="str">
        <x:v>Product</x:v>
      </x:c>
      <x:c r="F1" s="4" t="str">
        <x:v>Stage</x:v>
      </x:c>
      <x:c r="G1" s="4" t="str">
        <x:v>Deal Value</x:v>
      </x:c>
      <x:c r="H1" s="4" t="str">
        <x:v>Created Date</x:v>
      </x:c>
      <x:c r="I1" s="4" t="str">
        <x:v>Owner</x:v>
      </x:c>
      <x:c r="J1" s="4" t="str">
        <x:v>Probability %</x:v>
      </x:c>
    </x:row>
    <x:row r="2">
      <x:c r="A2" s="5" t="str">
        <x:v>D-1001</x:v>
      </x:c>
      <x:c r="B2" s="6" t="str">
        <x:v>Northstar Health</x:v>
      </x:c>
      <x:c r="C2" s="6" t="str">
        <x:v>Healthcare</x:v>
      </x:c>
      <x:c r="D2" s="6" t="str">
        <x:v>Western Canada</x:v>
      </x:c>
      <x:c r="E2" s="6" t="str">
        <x:v>Email Security</x:v>
      </x:c>
      <x:c r="F2" s="6" t="str">
        <x:v>Prospecting</x:v>
      </x:c>
      <x:c r="G2" s="14" t="n">
        <x:v>18500</x:v>
      </x:c>
      <x:c r="H2" s="17" t="n">
        <x:v>46030</x:v>
      </x:c>
      <x:c r="I2" s="6" t="str">
        <x:v>Amina</x:v>
      </x:c>
      <x:c r="J2" s="20" t="n">
        <x:v>15</x:v>
      </x:c>
    </x:row>
    <x:row r="3">
      <x:c r="A3" s="8" t="str">
        <x:v>D-1002</x:v>
      </x:c>
      <x:c r="B3" s="9" t="str">
        <x:v>Prairie Logistics</x:v>
      </x:c>
      <x:c r="C3" s="9" t="str">
        <x:v>Logistics</x:v>
      </x:c>
      <x:c r="D3" s="9" t="str">
        <x:v>Prairies</x:v>
      </x:c>
      <x:c r="E3" s="9" t="str">
        <x:v>Cloud Security</x:v>
      </x:c>
      <x:c r="F3" s="9" t="str">
        <x:v>Qualified</x:v>
      </x:c>
      <x:c r="G3" s="15" t="n">
        <x:v>32000</x:v>
      </x:c>
      <x:c r="H3" s="18" t="n">
        <x:v>46034</x:v>
      </x:c>
      <x:c r="I3" s="9" t="str">
        <x:v>Noah</x:v>
      </x:c>
      <x:c r="J3" s="21" t="n">
        <x:v>35</x:v>
      </x:c>
    </x:row>
    <x:row r="4">
      <x:c r="A4" s="8" t="str">
        <x:v>D-1003</x:v>
      </x:c>
      <x:c r="B4" s="9" t="str">
        <x:v>MapleWorks</x:v>
      </x:c>
      <x:c r="C4" s="9" t="str">
        <x:v>Manufacturing</x:v>
      </x:c>
      <x:c r="D4" s="9" t="str">
        <x:v>Ontario</x:v>
      </x:c>
      <x:c r="E4" s="9" t="str">
        <x:v>Identity Protection</x:v>
      </x:c>
      <x:c r="F4" s="9" t="str">
        <x:v>Proposal</x:v>
      </x:c>
      <x:c r="G4" s="15" t="n">
        <x:v>47000</x:v>
      </x:c>
      <x:c r="H4" s="18" t="n">
        <x:v>46042</x:v>
      </x:c>
      <x:c r="I4" s="9" t="str">
        <x:v>Amina</x:v>
      </x:c>
      <x:c r="J4" s="21" t="n">
        <x:v>65</x:v>
      </x:c>
    </x:row>
    <x:row r="5">
      <x:c r="A5" s="8" t="str">
        <x:v>D-1004</x:v>
      </x:c>
      <x:c r="B5" s="9" t="str">
        <x:v>Coastal Legal</x:v>
      </x:c>
      <x:c r="C5" s="9" t="str">
        <x:v>Legal</x:v>
      </x:c>
      <x:c r="D5" s="9" t="str">
        <x:v>British Columbia</x:v>
      </x:c>
      <x:c r="E5" s="9" t="str">
        <x:v>Email Security</x:v>
      </x:c>
      <x:c r="F5" s="9" t="str">
        <x:v>Closed Won</x:v>
      </x:c>
      <x:c r="G5" s="15" t="n">
        <x:v>26000</x:v>
      </x:c>
      <x:c r="H5" s="18" t="n">
        <x:v>46055</x:v>
      </x:c>
      <x:c r="I5" s="9" t="str">
        <x:v>Liam</x:v>
      </x:c>
      <x:c r="J5" s="21" t="n">
        <x:v>100</x:v>
      </x:c>
    </x:row>
    <x:row r="6">
      <x:c r="A6" s="8" t="str">
        <x:v>D-1005</x:v>
      </x:c>
      <x:c r="B6" s="9" t="str">
        <x:v>Northern Retail</x:v>
      </x:c>
      <x:c r="C6" s="9" t="str">
        <x:v>Retail</x:v>
      </x:c>
      <x:c r="D6" s="9" t="str">
        <x:v>Western Canada</x:v>
      </x:c>
      <x:c r="E6" s="9" t="str">
        <x:v>Security Awareness</x:v>
      </x:c>
      <x:c r="F6" s="9" t="str">
        <x:v>Closed Lost</x:v>
      </x:c>
      <x:c r="G6" s="15" t="n">
        <x:v>15500</x:v>
      </x:c>
      <x:c r="H6" s="18" t="n">
        <x:v>46060</x:v>
      </x:c>
      <x:c r="I6" s="9" t="str">
        <x:v>Noah</x:v>
      </x:c>
      <x:c r="J6" s="21" t="n">
        <x:v>0</x:v>
      </x:c>
    </x:row>
    <x:row r="7">
      <x:c r="A7" s="8" t="str">
        <x:v>D-1006</x:v>
      </x:c>
      <x:c r="B7" s="9" t="str">
        <x:v>Cedar Finance</x:v>
      </x:c>
      <x:c r="C7" s="9" t="str">
        <x:v>Financial Services</x:v>
      </x:c>
      <x:c r="D7" s="9" t="str">
        <x:v>Ontario</x:v>
      </x:c>
      <x:c r="E7" s="9" t="str">
        <x:v>Identity Protection</x:v>
      </x:c>
      <x:c r="F7" s="9" t="str">
        <x:v>Negotiation</x:v>
      </x:c>
      <x:c r="G7" s="15" t="n">
        <x:v>61000</x:v>
      </x:c>
      <x:c r="H7" s="18" t="n">
        <x:v>46064</x:v>
      </x:c>
      <x:c r="I7" s="9" t="str">
        <x:v>Amina</x:v>
      </x:c>
      <x:c r="J7" s="21" t="n">
        <x:v>85</x:v>
      </x:c>
    </x:row>
    <x:row r="8">
      <x:c r="A8" s="8" t="str">
        <x:v>D-1007</x:v>
      </x:c>
      <x:c r="B8" s="9" t="str">
        <x:v>Summit Energy</x:v>
      </x:c>
      <x:c r="C8" s="9" t="str">
        <x:v>Energy</x:v>
      </x:c>
      <x:c r="D8" s="9" t="str">
        <x:v>Prairies</x:v>
      </x:c>
      <x:c r="E8" s="9" t="str">
        <x:v>Cloud Security</x:v>
      </x:c>
      <x:c r="F8" s="9" t="str">
        <x:v>Qualified</x:v>
      </x:c>
      <x:c r="G8" s="15" t="n">
        <x:v>39000</x:v>
      </x:c>
      <x:c r="H8" s="18" t="n">
        <x:v>46071</x:v>
      </x:c>
      <x:c r="I8" s="9" t="str">
        <x:v>Liam</x:v>
      </x:c>
      <x:c r="J8" s="21" t="n">
        <x:v>40</x:v>
      </x:c>
    </x:row>
    <x:row r="9">
      <x:c r="A9" s="8" t="str">
        <x:v>D-1008</x:v>
      </x:c>
      <x:c r="B9" s="9" t="str">
        <x:v>Metro Education</x:v>
      </x:c>
      <x:c r="C9" s="9" t="str">
        <x:v>Education</x:v>
      </x:c>
      <x:c r="D9" s="9" t="str">
        <x:v>British Columbia</x:v>
      </x:c>
      <x:c r="E9" s="9" t="str">
        <x:v>Email Security</x:v>
      </x:c>
      <x:c r="F9" s="9" t="str">
        <x:v>Proposal</x:v>
      </x:c>
      <x:c r="G9" s="15" t="n">
        <x:v>28500</x:v>
      </x:c>
      <x:c r="H9" s="18" t="n">
        <x:v>46082</x:v>
      </x:c>
      <x:c r="I9" s="9" t="str">
        <x:v>Noah</x:v>
      </x:c>
      <x:c r="J9" s="21" t="n">
        <x:v>60</x:v>
      </x:c>
    </x:row>
    <x:row r="10">
      <x:c r="A10" s="8" t="str">
        <x:v>D-1009</x:v>
      </x:c>
      <x:c r="B10" s="9" t="str">
        <x:v>Aurora Foods</x:v>
      </x:c>
      <x:c r="C10" s="9" t="str">
        <x:v>Food &amp; Beverage</x:v>
      </x:c>
      <x:c r="D10" s="9" t="str">
        <x:v>Prairies</x:v>
      </x:c>
      <x:c r="E10" s="9" t="str">
        <x:v>Security Awareness</x:v>
      </x:c>
      <x:c r="F10" s="9" t="str">
        <x:v>Closed Won</x:v>
      </x:c>
      <x:c r="G10" s="15" t="n">
        <x:v>22000</x:v>
      </x:c>
      <x:c r="H10" s="18" t="n">
        <x:v>46086</x:v>
      </x:c>
      <x:c r="I10" s="9" t="str">
        <x:v>Amina</x:v>
      </x:c>
      <x:c r="J10" s="21" t="n">
        <x:v>100</x:v>
      </x:c>
    </x:row>
    <x:row r="11">
      <x:c r="A11" s="8" t="str">
        <x:v>D-1010</x:v>
      </x:c>
      <x:c r="B11" s="9" t="str">
        <x:v>Harbour Tech</x:v>
      </x:c>
      <x:c r="C11" s="9" t="str">
        <x:v>Technology</x:v>
      </x:c>
      <x:c r="D11" s="9" t="str">
        <x:v>British Columbia</x:v>
      </x:c>
      <x:c r="E11" s="9" t="str">
        <x:v>Cloud Security</x:v>
      </x:c>
      <x:c r="F11" s="9" t="str">
        <x:v>Prospecting</x:v>
      </x:c>
      <x:c r="G11" s="15" t="n">
        <x:v>54000</x:v>
      </x:c>
      <x:c r="H11" s="18" t="n">
        <x:v>46095</x:v>
      </x:c>
      <x:c r="I11" s="9" t="str">
        <x:v>Liam</x:v>
      </x:c>
      <x:c r="J11" s="21" t="n">
        <x:v>20</x:v>
      </x:c>
    </x:row>
    <x:row r="12">
      <x:c r="A12" s="8" t="str">
        <x:v>D-1011</x:v>
      </x:c>
      <x:c r="B12" s="9" t="str">
        <x:v>Capital Construction</x:v>
      </x:c>
      <x:c r="C12" s="9" t="str">
        <x:v>Construction</x:v>
      </x:c>
      <x:c r="D12" s="9" t="str">
        <x:v>Ontario</x:v>
      </x:c>
      <x:c r="E12" s="9" t="str">
        <x:v>Email Security</x:v>
      </x:c>
      <x:c r="F12" s="9" t="str">
        <x:v>Closed Lost</x:v>
      </x:c>
      <x:c r="G12" s="15" t="n">
        <x:v>33500</x:v>
      </x:c>
      <x:c r="H12" s="18" t="n">
        <x:v>46103</x:v>
      </x:c>
      <x:c r="I12" s="9" t="str">
        <x:v>Amina</x:v>
      </x:c>
      <x:c r="J12" s="21" t="n">
        <x:v>0</x:v>
      </x:c>
    </x:row>
    <x:row r="13">
      <x:c r="A13" s="8" t="str">
        <x:v>D-1012</x:v>
      </x:c>
      <x:c r="B13" s="9" t="str">
        <x:v>Evergreen Services</x:v>
      </x:c>
      <x:c r="C13" s="9" t="str">
        <x:v>Professional Services</x:v>
      </x:c>
      <x:c r="D13" s="9" t="str">
        <x:v>Western Canada</x:v>
      </x:c>
      <x:c r="E13" s="9" t="str">
        <x:v>Identity Protection</x:v>
      </x:c>
      <x:c r="F13" s="9" t="str">
        <x:v>Negotiation</x:v>
      </x:c>
      <x:c r="G13" s="15" t="n">
        <x:v>44500</x:v>
      </x:c>
      <x:c r="H13" s="18" t="n">
        <x:v>46114</x:v>
      </x:c>
      <x:c r="I13" s="9" t="str">
        <x:v>Noah</x:v>
      </x:c>
      <x:c r="J13" s="21" t="n">
        <x:v>80</x:v>
      </x:c>
    </x:row>
    <x:row r="14">
      <x:c r="A14" s="8" t="str">
        <x:v>D-1013</x:v>
      </x:c>
      <x:c r="B14" s="9" t="str">
        <x:v>Red River Transport</x:v>
      </x:c>
      <x:c r="C14" s="9" t="str">
        <x:v>Logistics</x:v>
      </x:c>
      <x:c r="D14" s="9" t="str">
        <x:v>Prairies</x:v>
      </x:c>
      <x:c r="E14" s="9" t="str">
        <x:v>Email Security</x:v>
      </x:c>
      <x:c r="F14" s="9" t="str">
        <x:v>Proposal</x:v>
      </x:c>
      <x:c r="G14" s="15" t="n">
        <x:v>37500</x:v>
      </x:c>
      <x:c r="H14" s="18" t="n">
        <x:v>46121</x:v>
      </x:c>
      <x:c r="I14" s="9" t="str">
        <x:v>Liam</x:v>
      </x:c>
      <x:c r="J14" s="21" t="n">
        <x:v>70</x:v>
      </x:c>
    </x:row>
    <x:row r="15">
      <x:c r="A15" s="8" t="str">
        <x:v>D-1014</x:v>
      </x:c>
      <x:c r="B15" s="9" t="str">
        <x:v>Pacific Clinics</x:v>
      </x:c>
      <x:c r="C15" s="9" t="str">
        <x:v>Healthcare</x:v>
      </x:c>
      <x:c r="D15" s="9" t="str">
        <x:v>British Columbia</x:v>
      </x:c>
      <x:c r="E15" s="9" t="str">
        <x:v>Security Awareness</x:v>
      </x:c>
      <x:c r="F15" s="9" t="str">
        <x:v>Closed Won</x:v>
      </x:c>
      <x:c r="G15" s="15" t="n">
        <x:v>29500</x:v>
      </x:c>
      <x:c r="H15" s="18" t="n">
        <x:v>46129</x:v>
      </x:c>
      <x:c r="I15" s="9" t="str">
        <x:v>Amina</x:v>
      </x:c>
      <x:c r="J15" s="21" t="n">
        <x:v>100</x:v>
      </x:c>
    </x:row>
    <x:row r="16">
      <x:c r="A16" s="8" t="str">
        <x:v>D-1015</x:v>
      </x:c>
      <x:c r="B16" s="9" t="str">
        <x:v>TrueNorth Media</x:v>
      </x:c>
      <x:c r="C16" s="9" t="str">
        <x:v>Media</x:v>
      </x:c>
      <x:c r="D16" s="9" t="str">
        <x:v>Ontario</x:v>
      </x:c>
      <x:c r="E16" s="9" t="str">
        <x:v>Cloud Security</x:v>
      </x:c>
      <x:c r="F16" s="9" t="str">
        <x:v>Qualified</x:v>
      </x:c>
      <x:c r="G16" s="15" t="n">
        <x:v>24000</x:v>
      </x:c>
      <x:c r="H16" s="18" t="n">
        <x:v>46145</x:v>
      </x:c>
      <x:c r="I16" s="9" t="str">
        <x:v>Noah</x:v>
      </x:c>
      <x:c r="J16" s="21" t="n">
        <x:v>45</x:v>
      </x:c>
    </x:row>
    <x:row r="17">
      <x:c r="A17" s="8" t="str">
        <x:v>D-1016</x:v>
      </x:c>
      <x:c r="B17" s="9" t="str">
        <x:v>Rocky Mountain Supply</x:v>
      </x:c>
      <x:c r="C17" s="9" t="str">
        <x:v>Wholesale</x:v>
      </x:c>
      <x:c r="D17" s="9" t="str">
        <x:v>Western Canada</x:v>
      </x:c>
      <x:c r="E17" s="9" t="str">
        <x:v>Identity Protection</x:v>
      </x:c>
      <x:c r="F17" s="9" t="str">
        <x:v>Closed Won</x:v>
      </x:c>
      <x:c r="G17" s="15" t="n">
        <x:v>41500</x:v>
      </x:c>
      <x:c r="H17" s="18" t="n">
        <x:v>46153</x:v>
      </x:c>
      <x:c r="I17" s="9" t="str">
        <x:v>Liam</x:v>
      </x:c>
      <x:c r="J17" s="21" t="n">
        <x:v>100</x:v>
      </x:c>
    </x:row>
    <x:row r="18">
      <x:c r="A18" s="8" t="str">
        <x:v>D-1017</x:v>
      </x:c>
      <x:c r="B18" s="9" t="str">
        <x:v>Lakeside Insurance</x:v>
      </x:c>
      <x:c r="C18" s="9" t="str">
        <x:v>Insurance</x:v>
      </x:c>
      <x:c r="D18" s="9" t="str">
        <x:v>Ontario</x:v>
      </x:c>
      <x:c r="E18" s="9" t="str">
        <x:v>Email Security</x:v>
      </x:c>
      <x:c r="F18" s="9" t="str">
        <x:v>Negotiation</x:v>
      </x:c>
      <x:c r="G18" s="15" t="n">
        <x:v>52000</x:v>
      </x:c>
      <x:c r="H18" s="18" t="n">
        <x:v>46161</x:v>
      </x:c>
      <x:c r="I18" s="9" t="str">
        <x:v>Amina</x:v>
      </x:c>
      <x:c r="J18" s="21" t="n">
        <x:v>90</x:v>
      </x:c>
    </x:row>
    <x:row r="19">
      <x:c r="A19" s="8" t="str">
        <x:v>D-1018</x:v>
      </x:c>
      <x:c r="B19" s="9" t="str">
        <x:v>West Coast Travel</x:v>
      </x:c>
      <x:c r="C19" s="9" t="str">
        <x:v>Travel</x:v>
      </x:c>
      <x:c r="D19" s="9" t="str">
        <x:v>British Columbia</x:v>
      </x:c>
      <x:c r="E19" s="9" t="str">
        <x:v>Security Awareness</x:v>
      </x:c>
      <x:c r="F19" s="9" t="str">
        <x:v>Closed Lost</x:v>
      </x:c>
      <x:c r="G19" s="15" t="n">
        <x:v>18000</x:v>
      </x:c>
      <x:c r="H19" s="18" t="n">
        <x:v>46174</x:v>
      </x:c>
      <x:c r="I19" s="9" t="str">
        <x:v>Noah</x:v>
      </x:c>
      <x:c r="J19" s="21" t="n">
        <x:v>0</x:v>
      </x:c>
    </x:row>
    <x:row r="20">
      <x:c r="A20" s="8" t="str">
        <x:v>D-1019</x:v>
      </x:c>
      <x:c r="B20" s="9" t="str">
        <x:v>Alberta AgriTech</x:v>
      </x:c>
      <x:c r="C20" s="9" t="str">
        <x:v>Agriculture</x:v>
      </x:c>
      <x:c r="D20" s="9" t="str">
        <x:v>Prairies</x:v>
      </x:c>
      <x:c r="E20" s="9" t="str">
        <x:v>Cloud Security</x:v>
      </x:c>
      <x:c r="F20" s="9" t="str">
        <x:v>Proposal</x:v>
      </x:c>
      <x:c r="G20" s="15" t="n">
        <x:v>48500</x:v>
      </x:c>
      <x:c r="H20" s="18" t="n">
        <x:v>46181</x:v>
      </x:c>
      <x:c r="I20" s="9" t="str">
        <x:v>Liam</x:v>
      </x:c>
      <x:c r="J20" s="21" t="n">
        <x:v>65</x:v>
      </x:c>
    </x:row>
    <x:row r="21">
      <x:c r="A21" s="8" t="str">
        <x:v>D-1020</x:v>
      </x:c>
      <x:c r="B21" s="9" t="str">
        <x:v>Dominion Telecom</x:v>
      </x:c>
      <x:c r="C21" s="9" t="str">
        <x:v>Telecommunications</x:v>
      </x:c>
      <x:c r="D21" s="9" t="str">
        <x:v>Ontario</x:v>
      </x:c>
      <x:c r="E21" s="9" t="str">
        <x:v>Identity Protection</x:v>
      </x:c>
      <x:c r="F21" s="9" t="str">
        <x:v>Closed Won</x:v>
      </x:c>
      <x:c r="G21" s="15" t="n">
        <x:v>72000</x:v>
      </x:c>
      <x:c r="H21" s="18" t="n">
        <x:v>46188</x:v>
      </x:c>
      <x:c r="I21" s="9" t="str">
        <x:v>Amina</x:v>
      </x:c>
      <x:c r="J21" s="21" t="n">
        <x:v>100</x:v>
      </x:c>
    </x:row>
    <x:row r="22">
      <x:c r="A22" s="8" t="str">
        <x:v>D-1021</x:v>
      </x:c>
      <x:c r="B22" s="9" t="str">
        <x:v>Fraser Hospitality</x:v>
      </x:c>
      <x:c r="C22" s="9" t="str">
        <x:v>Hospitality</x:v>
      </x:c>
      <x:c r="D22" s="9" t="str">
        <x:v>British Columbia</x:v>
      </x:c>
      <x:c r="E22" s="9" t="str">
        <x:v>Email Security</x:v>
      </x:c>
      <x:c r="F22" s="9" t="str">
        <x:v>Qualified</x:v>
      </x:c>
      <x:c r="G22" s="15" t="n">
        <x:v>21500</x:v>
      </x:c>
      <x:c r="H22" s="18" t="n">
        <x:v>46207</x:v>
      </x:c>
      <x:c r="I22" s="9" t="str">
        <x:v>Noah</x:v>
      </x:c>
      <x:c r="J22" s="21" t="n">
        <x:v>35</x:v>
      </x:c>
    </x:row>
    <x:row r="23">
      <x:c r="A23" s="8" t="str">
        <x:v>D-1022</x:v>
      </x:c>
      <x:c r="B23" s="9" t="str">
        <x:v>Westland Mining</x:v>
      </x:c>
      <x:c r="C23" s="9" t="str">
        <x:v>Mining</x:v>
      </x:c>
      <x:c r="D23" s="9" t="str">
        <x:v>Western Canada</x:v>
      </x:c>
      <x:c r="E23" s="9" t="str">
        <x:v>Cloud Security</x:v>
      </x:c>
      <x:c r="F23" s="9" t="str">
        <x:v>Prospecting</x:v>
      </x:c>
      <x:c r="G23" s="15" t="n">
        <x:v>58000</x:v>
      </x:c>
      <x:c r="H23" s="18" t="n">
        <x:v>46213</x:v>
      </x:c>
      <x:c r="I23" s="9" t="str">
        <x:v>Liam</x:v>
      </x:c>
      <x:c r="J23" s="21" t="n">
        <x:v>15</x:v>
      </x:c>
    </x:row>
    <x:row r="24">
      <x:c r="A24" s="8" t="str">
        <x:v>D-1023</x:v>
      </x:c>
      <x:c r="B24" s="9" t="str">
        <x:v>Civic Digital</x:v>
      </x:c>
      <x:c r="C24" s="9" t="str">
        <x:v>Public Sector</x:v>
      </x:c>
      <x:c r="D24" s="9" t="str">
        <x:v>Prairies</x:v>
      </x:c>
      <x:c r="E24" s="9" t="str">
        <x:v>Identity Protection</x:v>
      </x:c>
      <x:c r="F24" s="9" t="str">
        <x:v>Proposal</x:v>
      </x:c>
      <x:c r="G24" s="15" t="n">
        <x:v>66500</x:v>
      </x:c>
      <x:c r="H24" s="18" t="n">
        <x:v>46221</x:v>
      </x:c>
      <x:c r="I24" s="9" t="str">
        <x:v>Amina</x:v>
      </x:c>
      <x:c r="J24" s="21" t="n">
        <x:v>70</x:v>
      </x:c>
    </x:row>
    <x:row r="25">
      <x:c r="A25" s="8" t="str">
        <x:v>D-1024</x:v>
      </x:c>
      <x:c r="B25" s="9" t="str">
        <x:v>Urban Fitness</x:v>
      </x:c>
      <x:c r="C25" s="9" t="str">
        <x:v>Fitness</x:v>
      </x:c>
      <x:c r="D25" s="9" t="str">
        <x:v>Ontario</x:v>
      </x:c>
      <x:c r="E25" s="9" t="str">
        <x:v>Security Awareness</x:v>
      </x:c>
      <x:c r="F25" s="9" t="str">
        <x:v>Closed Won</x:v>
      </x:c>
      <x:c r="G25" s="15" t="n">
        <x:v>19500</x:v>
      </x:c>
      <x:c r="H25" s="18" t="n">
        <x:v>46235</x:v>
      </x:c>
      <x:c r="I25" s="9" t="str">
        <x:v>Noah</x:v>
      </x:c>
      <x:c r="J25" s="21" t="n">
        <x:v>100</x:v>
      </x:c>
    </x:row>
    <x:row r="26">
      <x:c r="A26" s="11" t="str">
        <x:v>D-1025</x:v>
      </x:c>
      <x:c r="B26" s="12" t="str">
        <x:v>BlueSky Software</x:v>
      </x:c>
      <x:c r="C26" s="12" t="str">
        <x:v>Technology</x:v>
      </x:c>
      <x:c r="D26" s="12" t="str">
        <x:v>British Columbia</x:v>
      </x:c>
      <x:c r="E26" s="12" t="str">
        <x:v>Email Security</x:v>
      </x:c>
      <x:c r="F26" s="12" t="str">
        <x:v>Negotiation</x:v>
      </x:c>
      <x:c r="G26" s="16" t="n">
        <x:v>57000</x:v>
      </x:c>
      <x:c r="H26" s="19" t="n">
        <x:v>46240</x:v>
      </x:c>
      <x:c r="I26" s="12" t="str">
        <x:v>Liam</x:v>
      </x:c>
      <x:c r="J26" s="22" t="n">
        <x:v>85</x:v>
      </x:c>
    </x:row>
  </x:sheetData>
  <x:dataValidations count="1">
    <x:dataValidation type="list" sqref="F2:F26">
      <x:formula1>"Prospecting,Qualified,Proposal,Negotiation,Closed Won,Closed Lost"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574dd8e6754e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63" t="str">
        <x:v>SALES PIPELINE PORTFOLIO DASHBOARD</x:v>
      </x:c>
      <x:c r="B1" s="63"/>
      <x:c r="C1" s="63"/>
      <x:c r="D1" s="63"/>
      <x:c r="E1" s="63"/>
      <x:c r="F1" s="63"/>
      <x:c r="G1" s="63"/>
      <x:c r="H1" s="63"/>
      <x:c r="I1" s="49"/>
      <x:c r="J1" s="49"/>
      <x:c r="K1" s="49"/>
      <x:c r="L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</x:row>
    <x:row r="3">
      <x:c r="A3" s="50" t="str">
        <x:v>Total Pipeline</x:v>
      </x:c>
      <x:c r="B3" s="51" t="str">
        <x:v>Won Revenue</x:v>
      </x:c>
      <x:c r="C3" s="49"/>
      <x:c r="D3" s="50" t="str">
        <x:v>Win Rate</x:v>
      </x:c>
      <x:c r="E3" s="51" t="str">
        <x:v>Average Deal</x:v>
      </x:c>
      <x:c r="F3" s="49"/>
      <x:c r="G3" s="49"/>
      <x:c r="H3" s="49"/>
      <x:c r="I3" s="49"/>
      <x:c r="J3" s="49"/>
      <x:c r="K3" s="49"/>
      <x:c r="L3" s="49"/>
    </x:row>
    <x:row r="4">
      <x:c r="A4" s="52" t="n">
        <x:f>SUM('Sales Data'!$G$2:$G$26)</x:f>
        <x:v>967000</x:v>
      </x:c>
      <x:c r="B4" s="53" t="n">
        <x:f>SUMIF('Sales Data'!$F$2:$F$26,"Closed Won",'Sales Data'!$G$2:$G$26)</x:f>
        <x:v>210500</x:v>
      </x:c>
      <x:c r="C4" s="49"/>
      <x:c r="D4" s="54" t="n">
        <x:f>COUNTIF('Sales Data'!$F$2:$F$26,"Closed Won")/(COUNTIF('Sales Data'!$F$2:$F$26,"Closed Won")+COUNTIF('Sales Data'!$F$2:$F$26,"Closed Lost"))</x:f>
        <x:v>0.6666666666666666</x:v>
      </x:c>
      <x:c r="E4" s="53" t="n">
        <x:f>AVERAGE('Sales Data'!$G$2:$G$26)</x:f>
        <x:v>38680</x:v>
      </x:c>
      <x:c r="F4" s="49"/>
      <x:c r="G4" s="49"/>
      <x:c r="H4" s="49"/>
      <x:c r="I4" s="49"/>
      <x:c r="J4" s="49"/>
      <x:c r="K4" s="49"/>
      <x:c r="L4" s="49"/>
    </x:row>
    <x:row r="5">
      <x:c r="A5" s="49"/>
      <x:c r="B5" s="49"/>
      <x:c r="C5" s="49"/>
      <x:c r="D5" s="49"/>
      <x:c r="E5" s="49"/>
      <x:c r="F5" s="49"/>
      <x:c r="G5" s="49"/>
      <x:c r="H5" s="49"/>
      <x:c r="I5" s="49"/>
      <x:c r="J5" s="49"/>
      <x:c r="K5" s="49"/>
      <x:c r="L5" s="49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</x:row>
    <x:row r="7">
      <x:c r="A7" s="55" t="str">
        <x:v>Stage</x:v>
      </x:c>
      <x:c r="B7" s="56" t="str">
        <x:v>Deal Count</x:v>
      </x:c>
      <x:c r="C7" s="57" t="str">
        <x:v>Pipeline Value</x:v>
      </x:c>
      <x:c r="D7" s="49"/>
      <x:c r="E7" s="49"/>
      <x:c r="F7" s="49"/>
      <x:c r="G7" s="49"/>
      <x:c r="H7" s="49"/>
      <x:c r="I7" s="49"/>
      <x:c r="J7" s="49"/>
      <x:c r="K7" s="49"/>
      <x:c r="L7" s="49"/>
    </x:row>
    <x:row r="8">
      <x:c r="A8" s="58" t="str">
        <x:v>Prospecting</x:v>
      </x:c>
      <x:c r="B8" s="49" t="n">
        <x:f>COUNTIF('Sales Data'!$F$2:$F$26,A8)</x:f>
        <x:v>3</x:v>
      </x:c>
      <x:c r="C8" s="59" t="n">
        <x:f>SUMIF('Sales Data'!$F$2:$F$26,A8,'Sales Data'!$G$2:$G$26)</x:f>
        <x:v>130500</x:v>
      </x:c>
      <x:c r="D8" s="49"/>
      <x:c r="E8" s="49"/>
      <x:c r="F8" s="49"/>
      <x:c r="G8" s="49"/>
      <x:c r="H8" s="49"/>
      <x:c r="I8" s="49"/>
      <x:c r="J8" s="49"/>
      <x:c r="K8" s="49"/>
      <x:c r="L8" s="49"/>
    </x:row>
    <x:row r="9">
      <x:c r="A9" s="58" t="str">
        <x:v>Qualified</x:v>
      </x:c>
      <x:c r="B9" s="49" t="n">
        <x:f>COUNTIF('Sales Data'!$F$2:$F$26,A9)</x:f>
        <x:v>4</x:v>
      </x:c>
      <x:c r="C9" s="59" t="n">
        <x:f>SUMIF('Sales Data'!$F$2:$F$26,A9,'Sales Data'!$G$2:$G$26)</x:f>
        <x:v>116500</x:v>
      </x:c>
      <x:c r="D9" s="49"/>
      <x:c r="E9" s="49"/>
      <x:c r="F9" s="49"/>
      <x:c r="G9" s="49"/>
      <x:c r="H9" s="49"/>
      <x:c r="I9" s="49"/>
      <x:c r="J9" s="49"/>
      <x:c r="K9" s="49"/>
      <x:c r="L9" s="49"/>
    </x:row>
    <x:row r="10">
      <x:c r="A10" s="58" t="str">
        <x:v>Proposal</x:v>
      </x:c>
      <x:c r="B10" s="49" t="n">
        <x:f>COUNTIF('Sales Data'!$F$2:$F$26,A10)</x:f>
        <x:v>5</x:v>
      </x:c>
      <x:c r="C10" s="59" t="n">
        <x:f>SUMIF('Sales Data'!$F$2:$F$26,A10,'Sales Data'!$G$2:$G$26)</x:f>
        <x:v>228000</x:v>
      </x:c>
      <x:c r="D10" s="49"/>
      <x:c r="E10" s="49"/>
      <x:c r="F10" s="49"/>
      <x:c r="G10" s="49"/>
      <x:c r="H10" s="49"/>
      <x:c r="I10" s="49"/>
      <x:c r="J10" s="49"/>
      <x:c r="K10" s="49"/>
      <x:c r="L10" s="49"/>
    </x:row>
    <x:row r="11">
      <x:c r="A11" s="58" t="str">
        <x:v>Negotiation</x:v>
      </x:c>
      <x:c r="B11" s="49" t="n">
        <x:f>COUNTIF('Sales Data'!$F$2:$F$26,A11)</x:f>
        <x:v>4</x:v>
      </x:c>
      <x:c r="C11" s="59" t="n">
        <x:f>SUMIF('Sales Data'!$F$2:$F$26,A11,'Sales Data'!$G$2:$G$26)</x:f>
        <x:v>214500</x:v>
      </x:c>
      <x:c r="D11" s="49"/>
      <x:c r="E11" s="49"/>
      <x:c r="F11" s="49"/>
      <x:c r="G11" s="49"/>
      <x:c r="H11" s="49"/>
      <x:c r="I11" s="49"/>
      <x:c r="J11" s="49"/>
      <x:c r="K11" s="49"/>
      <x:c r="L11" s="49"/>
    </x:row>
    <x:row r="12">
      <x:c r="A12" s="58" t="str">
        <x:v>Closed Won</x:v>
      </x:c>
      <x:c r="B12" s="49" t="n">
        <x:f>COUNTIF('Sales Data'!$F$2:$F$26,A12)</x:f>
        <x:v>6</x:v>
      </x:c>
      <x:c r="C12" s="59" t="n">
        <x:f>SUMIF('Sales Data'!$F$2:$F$26,A12,'Sales Data'!$G$2:$G$26)</x:f>
        <x:v>210500</x:v>
      </x:c>
      <x:c r="D12" s="49"/>
      <x:c r="E12" s="49"/>
      <x:c r="F12" s="49"/>
      <x:c r="G12" s="49"/>
      <x:c r="H12" s="49"/>
      <x:c r="I12" s="49"/>
      <x:c r="J12" s="49"/>
      <x:c r="K12" s="49"/>
      <x:c r="L12" s="49"/>
    </x:row>
    <x:row r="13">
      <x:c r="A13" s="60" t="str">
        <x:v>Closed Lost</x:v>
      </x:c>
      <x:c r="B13" s="61" t="n">
        <x:f>COUNTIF('Sales Data'!$F$2:$F$26,A13)</x:f>
        <x:v>3</x:v>
      </x:c>
      <x:c r="C13" s="62" t="n">
        <x:f>SUMIF('Sales Data'!$F$2:$F$26,A13,'Sales Data'!$G$2:$G$26)</x:f>
        <x:v>67000</x:v>
      </x:c>
      <x:c r="D13" s="49"/>
      <x:c r="E13" s="49"/>
      <x:c r="F13" s="49"/>
      <x:c r="G13" s="49"/>
      <x:c r="H13" s="49"/>
      <x:c r="I13" s="49"/>
      <x:c r="J13" s="49"/>
      <x:c r="K13" s="49"/>
      <x:c r="L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</x:row>
    <x:row r="16">
      <x:c r="A16" s="55" t="str">
        <x:v>Region</x:v>
      </x:c>
      <x:c r="B16" s="56" t="str">
        <x:v>Deals</x:v>
      </x:c>
      <x:c r="C16" s="57" t="str">
        <x:v>Pipeline Value</x:v>
      </x:c>
      <x:c r="D16" s="49"/>
      <x:c r="E16" s="49"/>
      <x:c r="F16" s="49"/>
      <x:c r="G16" s="49"/>
      <x:c r="H16" s="49"/>
      <x:c r="I16" s="49"/>
      <x:c r="J16" s="49"/>
      <x:c r="K16" s="49"/>
      <x:c r="L16" s="49"/>
    </x:row>
    <x:row r="17">
      <x:c r="A17" s="58" t="str">
        <x:v>British Columbia</x:v>
      </x:c>
      <x:c r="B17" s="49" t="n">
        <x:f>COUNTIF('Sales Data'!$D$2:$D$26,A17)</x:f>
        <x:v>7</x:v>
      </x:c>
      <x:c r="C17" s="59" t="n">
        <x:f>SUMIF('Sales Data'!$D$2:$D$26,A17,'Sales Data'!$G$2:$G$26)</x:f>
        <x:v>234500</x:v>
      </x:c>
      <x:c r="D17" s="49"/>
      <x:c r="E17" s="49"/>
      <x:c r="F17" s="49"/>
      <x:c r="G17" s="49"/>
      <x:c r="H17" s="49"/>
      <x:c r="I17" s="49"/>
      <x:c r="J17" s="49"/>
      <x:c r="K17" s="49"/>
      <x:c r="L17" s="49"/>
    </x:row>
    <x:row r="18">
      <x:c r="A18" s="58" t="str">
        <x:v>Prairies</x:v>
      </x:c>
      <x:c r="B18" s="49" t="n">
        <x:f>COUNTIF('Sales Data'!$D$2:$D$26,A18)</x:f>
        <x:v>6</x:v>
      </x:c>
      <x:c r="C18" s="59" t="n">
        <x:f>SUMIF('Sales Data'!$D$2:$D$26,A18,'Sales Data'!$G$2:$G$26)</x:f>
        <x:v>245500</x:v>
      </x:c>
      <x:c r="D18" s="49"/>
      <x:c r="E18" s="49"/>
      <x:c r="F18" s="49"/>
      <x:c r="G18" s="49"/>
      <x:c r="H18" s="49"/>
      <x:c r="I18" s="49"/>
      <x:c r="J18" s="49"/>
      <x:c r="K18" s="49"/>
      <x:c r="L18" s="49"/>
    </x:row>
    <x:row r="19">
      <x:c r="A19" s="58" t="str">
        <x:v>Western Canada</x:v>
      </x:c>
      <x:c r="B19" s="49" t="n">
        <x:f>COUNTIF('Sales Data'!$D$2:$D$26,A19)</x:f>
        <x:v>5</x:v>
      </x:c>
      <x:c r="C19" s="59" t="n">
        <x:f>SUMIF('Sales Data'!$D$2:$D$26,A19,'Sales Data'!$G$2:$G$26)</x:f>
        <x:v>178000</x:v>
      </x:c>
      <x:c r="D19" s="49"/>
      <x:c r="E19" s="49"/>
      <x:c r="F19" s="49"/>
      <x:c r="G19" s="49"/>
      <x:c r="H19" s="49"/>
      <x:c r="I19" s="49"/>
      <x:c r="J19" s="49"/>
      <x:c r="K19" s="49"/>
      <x:c r="L19" s="49"/>
    </x:row>
    <x:row r="20">
      <x:c r="A20" s="60" t="str">
        <x:v>Ontario</x:v>
      </x:c>
      <x:c r="B20" s="61" t="n">
        <x:f>COUNTIF('Sales Data'!$D$2:$D$26,A20)</x:f>
        <x:v>7</x:v>
      </x:c>
      <x:c r="C20" s="62" t="n">
        <x:f>SUMIF('Sales Data'!$D$2:$D$26,A20,'Sales Data'!$G$2:$G$26)</x:f>
        <x:v>309000</x:v>
      </x:c>
      <x:c r="D20" s="49"/>
      <x:c r="E20" s="49"/>
      <x:c r="F20" s="49"/>
      <x:c r="G20" s="49"/>
      <x:c r="H20" s="49"/>
      <x:c r="I20" s="49"/>
      <x:c r="J20" s="49"/>
      <x:c r="K20" s="49"/>
      <x:c r="L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ebe9fd7b8f24f0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04" t="str">
        <x:v>PROJECT 1: SALES PIPELINE ANALYSIS</x:v>
      </x:c>
      <x:c r="B1" s="104"/>
      <x:c r="C1" s="104"/>
      <x:c r="D1" s="104"/>
      <x:c r="E1" s="104"/>
      <x:c r="F1" s="104"/>
    </x:row>
    <x:row r="2">
      <x:c r="A2" s="91"/>
      <x:c r="B2" s="91"/>
      <x:c r="C2" s="91"/>
      <x:c r="D2" s="91"/>
      <x:c r="E2" s="91"/>
      <x:c r="F2" s="91"/>
    </x:row>
    <x:row r="3">
      <x:c r="A3" s="92" t="str">
        <x:v>Your first task today</x:v>
      </x:c>
      <x:c r="B3" s="92"/>
      <x:c r="C3" s="92"/>
      <x:c r="D3" s="92"/>
      <x:c r="E3" s="92"/>
      <x:c r="F3" s="92"/>
    </x:row>
    <x:row r="4">
      <x:c r="A4" s="91"/>
      <x:c r="B4" s="91"/>
      <x:c r="C4" s="91"/>
      <x:c r="D4" s="91"/>
      <x:c r="E4" s="91"/>
      <x:c r="F4" s="91"/>
    </x:row>
    <x:row r="5" ht="28" customHeight="1">
      <x:c r="A5" s="93" t="str">
        <x:v>1</x:v>
      </x:c>
      <x:c r="B5" s="94" t="str">
        <x:v>Open the Sales Data sheet and scan the columns.</x:v>
      </x:c>
      <x:c r="C5" s="94"/>
      <x:c r="D5" s="94"/>
      <x:c r="E5" s="94"/>
      <x:c r="F5" s="94"/>
    </x:row>
    <x:row r="6" ht="28" customHeight="1">
      <x:c r="A6" s="93" t="str">
        <x:v>2</x:v>
      </x:c>
      <x:c r="B6" s="94" t="str">
        <x:v>Open the Dashboard and identify the largest KPI.</x:v>
      </x:c>
      <x:c r="C6" s="94"/>
      <x:c r="D6" s="94"/>
      <x:c r="E6" s="94"/>
      <x:c r="F6" s="94"/>
    </x:row>
    <x:row r="7" ht="28" customHeight="1">
      <x:c r="A7" s="93" t="str">
        <x:v>3</x:v>
      </x:c>
      <x:c r="B7" s="94" t="str">
        <x:v>Change one deal's Stage and watch the dashboard update.</x:v>
      </x:c>
      <x:c r="C7" s="94"/>
      <x:c r="D7" s="94"/>
      <x:c r="E7" s="94"/>
      <x:c r="F7" s="94"/>
    </x:row>
    <x:row r="8" ht="28" customHeight="1">
      <x:c r="A8" s="93" t="str">
        <x:v>4</x:v>
      </x:c>
      <x:c r="B8" s="94" t="str">
        <x:v>Write one observation in cell A12 below.</x:v>
      </x:c>
      <x:c r="C8" s="94"/>
      <x:c r="D8" s="94"/>
      <x:c r="E8" s="94"/>
      <x:c r="F8" s="94"/>
    </x:row>
    <x:row r="9" ht="28" customHeight="1">
      <x:c r="A9" s="93" t="str">
        <x:v>5</x:v>
      </x:c>
      <x:c r="B9" s="94" t="str">
        <x:v>Stop. That completes today's portfolio session.</x:v>
      </x:c>
      <x:c r="C9" s="94"/>
      <x:c r="D9" s="94"/>
      <x:c r="E9" s="94"/>
      <x:c r="F9" s="94"/>
    </x:row>
    <x:row r="10">
      <x:c r="A10" s="91"/>
      <x:c r="B10" s="91"/>
      <x:c r="C10" s="91"/>
      <x:c r="D10" s="91"/>
      <x:c r="E10" s="91"/>
      <x:c r="F10" s="91"/>
    </x:row>
    <x:row r="11">
      <x:c r="A11" s="90" t="str">
        <x:v>My first observation</x:v>
      </x:c>
      <x:c r="B11" s="90"/>
      <x:c r="C11" s="90"/>
      <x:c r="D11" s="90"/>
      <x:c r="E11" s="90"/>
      <x:c r="F11" s="90"/>
    </x:row>
    <x:row r="12">
      <x:c r="A12" s="95" t="str">
        <x:v>Type your observation here...</x:v>
      </x:c>
      <x:c r="B12" s="96"/>
      <x:c r="C12" s="96"/>
      <x:c r="D12" s="96"/>
      <x:c r="E12" s="96"/>
      <x:c r="F12" s="97"/>
    </x:row>
    <x:row r="13">
      <x:c r="A13" s="98"/>
      <x:c r="B13" s="99"/>
      <x:c r="C13" s="99"/>
      <x:c r="D13" s="99"/>
      <x:c r="E13" s="99"/>
      <x:c r="F13" s="100"/>
    </x:row>
    <x:row r="14">
      <x:c r="A14" s="101"/>
      <x:c r="B14" s="102"/>
      <x:c r="C14" s="102"/>
      <x:c r="D14" s="102"/>
      <x:c r="E14" s="102"/>
      <x:c r="F14" s="103"/>
    </x:row>
  </x:sheetData>
  <x:mergeCells>
    <x:mergeCell ref="A1:F1"/>
    <x:mergeCell ref="A3:F3"/>
    <x:mergeCell ref="B5:F5"/>
    <x:mergeCell ref="B6:F6"/>
    <x:mergeCell ref="B7:F7"/>
    <x:mergeCell ref="B8:F8"/>
    <x:mergeCell ref="B9:F9"/>
    <x:mergeCell ref="A11:F11"/>
    <x:mergeCell ref="A12:F14"/>
  </x:mergeCells>
  <x:pageMargins left="0.7" right="0.7" top="0.75" bottom="0.75" header="0.3" footer="0.3"/>
</x:worksheet>
</file>